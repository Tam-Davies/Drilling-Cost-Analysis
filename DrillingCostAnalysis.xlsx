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mmy\Desktop\PET DATA\PET_ML_PROJECTS\Drilling Cost Analysis\"/>
    </mc:Choice>
  </mc:AlternateContent>
  <xr:revisionPtr revIDLastSave="0" documentId="13_ncr:1_{06828BF0-3420-4CA6-944D-B584EE80AC24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OLS_Analysis" sheetId="6" r:id="rId1"/>
    <sheet name="Sheet2" sheetId="8" r:id="rId2"/>
    <sheet name="Sheet4" sheetId="10" r:id="rId3"/>
    <sheet name="Sheet5" sheetId="11" r:id="rId4"/>
    <sheet name="Sheet6" sheetId="12" r:id="rId5"/>
    <sheet name="Drilling Cost Analysis" sheetId="1" r:id="rId6"/>
  </sheets>
  <calcPr calcId="191029"/>
</workbook>
</file>

<file path=xl/calcChain.xml><?xml version="1.0" encoding="utf-8"?>
<calcChain xmlns="http://schemas.openxmlformats.org/spreadsheetml/2006/main">
  <c r="K4" i="1" l="1"/>
  <c r="K3" i="1"/>
  <c r="L26" i="1" l="1"/>
  <c r="L25" i="1"/>
  <c r="L2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I22" i="1"/>
  <c r="M9" i="1"/>
  <c r="I21" i="1" s="1"/>
  <c r="M8" i="1"/>
  <c r="M7" i="1"/>
  <c r="I17" i="1" l="1"/>
  <c r="I13" i="1"/>
  <c r="I9" i="1"/>
  <c r="I5" i="1"/>
  <c r="I20" i="1"/>
  <c r="I16" i="1"/>
  <c r="I12" i="1"/>
  <c r="I8" i="1"/>
  <c r="I4" i="1"/>
  <c r="I19" i="1"/>
  <c r="I15" i="1"/>
  <c r="I11" i="1"/>
  <c r="I7" i="1"/>
  <c r="I3" i="1"/>
  <c r="I18" i="1"/>
  <c r="I14" i="1"/>
  <c r="I10" i="1"/>
  <c r="I6" i="1"/>
  <c r="I2" i="1"/>
</calcChain>
</file>

<file path=xl/sharedStrings.xml><?xml version="1.0" encoding="utf-8"?>
<sst xmlns="http://schemas.openxmlformats.org/spreadsheetml/2006/main" count="106" uniqueCount="50">
  <si>
    <t>Well</t>
  </si>
  <si>
    <t>Depth</t>
  </si>
  <si>
    <t>Cost</t>
  </si>
  <si>
    <t>Depth*ln Cost</t>
  </si>
  <si>
    <t>(ln Cost)^2</t>
  </si>
  <si>
    <t>Depth^2</t>
  </si>
  <si>
    <t>Cost Estimate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</si>
  <si>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</si>
  <si>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</si>
  <si>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</si>
  <si>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</si>
  <si>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</si>
  <si>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</si>
  <si>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</si>
  <si>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</si>
  <si>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</si>
  <si>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</si>
  <si>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</si>
  <si>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</si>
  <si>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</si>
  <si>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</si>
  <si>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</si>
  <si>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</si>
  <si>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</si>
  <si>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</si>
  <si>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</si>
  <si>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</si>
  <si>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</si>
  <si>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</si>
  <si>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</si>
  <si>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</si>
  <si>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</si>
  <si>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</si>
  <si>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</si>
  <si>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Predicted 14.21</t>
  </si>
  <si>
    <t>ln_Cost</t>
  </si>
  <si>
    <t>Predicted_Cost</t>
  </si>
  <si>
    <t>Cdc = adc*exp(bdc.s)</t>
  </si>
  <si>
    <t>Cdc</t>
  </si>
  <si>
    <t>Predicted Cost</t>
  </si>
  <si>
    <t>bdc = B1</t>
  </si>
  <si>
    <t>B0</t>
  </si>
  <si>
    <t>adc</t>
  </si>
  <si>
    <t>Average_Cost</t>
  </si>
  <si>
    <t>Average_Predicted_Cost</t>
  </si>
  <si>
    <t>Difference</t>
  </si>
  <si>
    <t>X Variable 1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</si>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</sst>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3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12550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'Drilling Cost Analysis'!$B$3:$B$20</c:f>
              <c:numCache>
                <c:formatCode>General</c:formatCode>
                <c:ptCount val="18"/>
                <c:pt idx="0">
                  <c:v>12560</c:v>
                </c:pt>
                <c:pt idx="1">
                  <c:v>12800</c:v>
                </c:pt>
                <c:pt idx="2">
                  <c:v>12950</c:v>
                </c:pt>
                <c:pt idx="3">
                  <c:v>12980</c:v>
                </c:pt>
                <c:pt idx="4">
                  <c:v>13000</c:v>
                </c:pt>
                <c:pt idx="5">
                  <c:v>13250</c:v>
                </c:pt>
                <c:pt idx="6">
                  <c:v>13780</c:v>
                </c:pt>
                <c:pt idx="7">
                  <c:v>14250</c:v>
                </c:pt>
                <c:pt idx="8">
                  <c:v>14250</c:v>
                </c:pt>
                <c:pt idx="9">
                  <c:v>15000</c:v>
                </c:pt>
                <c:pt idx="10">
                  <c:v>16500</c:v>
                </c:pt>
                <c:pt idx="11">
                  <c:v>16580</c:v>
                </c:pt>
                <c:pt idx="12">
                  <c:v>17000</c:v>
                </c:pt>
                <c:pt idx="13">
                  <c:v>17240</c:v>
                </c:pt>
                <c:pt idx="14">
                  <c:v>18000</c:v>
                </c:pt>
                <c:pt idx="15">
                  <c:v>18200</c:v>
                </c:pt>
                <c:pt idx="16">
                  <c:v>18200</c:v>
                </c:pt>
                <c:pt idx="17">
                  <c:v>18750</c:v>
                </c:pt>
              </c:numCache>
            </c:numRef>
          </c:xVal>
          <c:yVal>
            <c:numRef>
              <c:f>'Drilling Cost Analysis'!$D$3:$D$20</c:f>
              <c:numCache>
                <c:formatCode>General</c:formatCode>
                <c:ptCount val="18"/>
                <c:pt idx="0">
                  <c:v>14.21</c:v>
                </c:pt>
                <c:pt idx="1">
                  <c:v>14.22</c:v>
                </c:pt>
                <c:pt idx="2">
                  <c:v>14.21</c:v>
                </c:pt>
                <c:pt idx="3">
                  <c:v>14.23</c:v>
                </c:pt>
                <c:pt idx="4">
                  <c:v>14.23</c:v>
                </c:pt>
                <c:pt idx="5">
                  <c:v>14.24</c:v>
                </c:pt>
                <c:pt idx="6">
                  <c:v>14.26</c:v>
                </c:pt>
                <c:pt idx="7">
                  <c:v>14.29</c:v>
                </c:pt>
                <c:pt idx="8">
                  <c:v>14.32</c:v>
                </c:pt>
                <c:pt idx="9">
                  <c:v>14.35</c:v>
                </c:pt>
                <c:pt idx="10">
                  <c:v>14.4</c:v>
                </c:pt>
                <c:pt idx="11">
                  <c:v>14.41</c:v>
                </c:pt>
                <c:pt idx="12">
                  <c:v>14.43</c:v>
                </c:pt>
                <c:pt idx="13">
                  <c:v>14.43</c:v>
                </c:pt>
                <c:pt idx="14">
                  <c:v>14.48</c:v>
                </c:pt>
                <c:pt idx="15">
                  <c:v>14.49</c:v>
                </c:pt>
                <c:pt idx="16">
                  <c:v>14.46</c:v>
                </c:pt>
                <c:pt idx="17">
                  <c:v>14.52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64-4C44-8FD7-2880CD766CEC}"/>
            </c:ext>
          </c:extLst>
        </c:ser>
        <c:ser>
          <c:idx val="1"/>
          <c:order val="1"/>
          <c:tx>
            <c:v>Predicted 14.21</c:v>
          </c:tx>
          <c:spPr>
            <a:ln w="19050">
              <a:noFill/>
            </a:ln>
          </c:spPr>
          <c:xVal>
            <c:numRef>
              <c:f>'Drilling Cost Analysis'!$B$3:$B$20</c:f>
              <c:numCache>
                <c:formatCode>General</c:formatCode>
                <c:ptCount val="18"/>
                <c:pt idx="0">
                  <c:v>12560</c:v>
                </c:pt>
                <c:pt idx="1">
                  <c:v>12800</c:v>
                </c:pt>
                <c:pt idx="2">
                  <c:v>12950</c:v>
                </c:pt>
                <c:pt idx="3">
                  <c:v>12980</c:v>
                </c:pt>
                <c:pt idx="4">
                  <c:v>13000</c:v>
                </c:pt>
                <c:pt idx="5">
                  <c:v>13250</c:v>
                </c:pt>
                <c:pt idx="6">
                  <c:v>13780</c:v>
                </c:pt>
                <c:pt idx="7">
                  <c:v>14250</c:v>
                </c:pt>
                <c:pt idx="8">
                  <c:v>14250</c:v>
                </c:pt>
                <c:pt idx="9">
                  <c:v>15000</c:v>
                </c:pt>
                <c:pt idx="10">
                  <c:v>16500</c:v>
                </c:pt>
                <c:pt idx="11">
                  <c:v>16580</c:v>
                </c:pt>
                <c:pt idx="12">
                  <c:v>17000</c:v>
                </c:pt>
                <c:pt idx="13">
                  <c:v>17240</c:v>
                </c:pt>
                <c:pt idx="14">
                  <c:v>18000</c:v>
                </c:pt>
                <c:pt idx="15">
                  <c:v>18200</c:v>
                </c:pt>
                <c:pt idx="16">
                  <c:v>18200</c:v>
                </c:pt>
                <c:pt idx="17">
                  <c:v>18750</c:v>
                </c:pt>
              </c:numCache>
            </c:numRef>
          </c:xVal>
          <c:yVal>
            <c:numRef>
              <c:f>OLS_Analysis!$B$25:$B$42</c:f>
              <c:numCache>
                <c:formatCode>General</c:formatCode>
                <c:ptCount val="18"/>
                <c:pt idx="0">
                  <c:v>14.209442027259517</c:v>
                </c:pt>
                <c:pt idx="1">
                  <c:v>14.221195948052829</c:v>
                </c:pt>
                <c:pt idx="2">
                  <c:v>14.22854214854865</c:v>
                </c:pt>
                <c:pt idx="3">
                  <c:v>14.230011388647814</c:v>
                </c:pt>
                <c:pt idx="4">
                  <c:v>14.230990882047257</c:v>
                </c:pt>
                <c:pt idx="5">
                  <c:v>14.24323454954029</c:v>
                </c:pt>
                <c:pt idx="6">
                  <c:v>14.26919112462552</c:v>
                </c:pt>
                <c:pt idx="7">
                  <c:v>14.292209219512422</c:v>
                </c:pt>
                <c:pt idx="8">
                  <c:v>14.292209219512422</c:v>
                </c:pt>
                <c:pt idx="9">
                  <c:v>14.328940221991523</c:v>
                </c:pt>
                <c:pt idx="10">
                  <c:v>14.402402226949723</c:v>
                </c:pt>
                <c:pt idx="11">
                  <c:v>14.406320200547494</c:v>
                </c:pt>
                <c:pt idx="12">
                  <c:v>14.42688956193579</c:v>
                </c:pt>
                <c:pt idx="13">
                  <c:v>14.438643482729102</c:v>
                </c:pt>
                <c:pt idx="14">
                  <c:v>14.475864231907924</c:v>
                </c:pt>
                <c:pt idx="15">
                  <c:v>14.48565916590235</c:v>
                </c:pt>
                <c:pt idx="16">
                  <c:v>14.48565916590235</c:v>
                </c:pt>
                <c:pt idx="17">
                  <c:v>14.512595234387023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64-4C44-8FD7-2880CD766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829888"/>
        <c:axId val="687829408"/>
      </c:scatterChart>
      <c:valAx>
        <c:axId val="68782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12550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7829408"/>
        <c:crosses val="autoZero"/>
        <c:crossBetween val="midCat"/>
      </c:valAx>
      <c:valAx>
        <c:axId val="687829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14.21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7829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Sheet4!$A$2:$A$6</c:f>
              <c:strCache>
                <c:ptCount val="5"/>
                <c:pt idx="0">
                  <c:v>1480500</c:v>
                </c:pt>
                <c:pt idx="1">
                  <c:v>1615375</c:v>
                </c:pt>
                <c:pt idx="2">
                  <c:v>1750250</c:v>
                </c:pt>
                <c:pt idx="3">
                  <c:v>1885125</c:v>
                </c:pt>
                <c:pt idx="4">
                  <c:v>More</c:v>
                </c:pt>
              </c:strCache>
            </c:strRef>
          </c:cat>
          <c:val>
            <c:numRef>
              <c:f>Sheet4!$B$2:$B$6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5-4AB6-8930-C6AC7E4B9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513472"/>
        <c:axId val="702510112"/>
      </c:barChart>
      <c:catAx>
        <c:axId val="70251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2510112"/>
        <c:crosses val="autoZero"/>
        <c:auto val="1"/>
        <c:lblAlgn val="ctr"/>
        <c:lblOffset val="100"/>
        <c:noMultiLvlLbl val="0"/>
      </c:catAx>
      <c:valAx>
        <c:axId val="70251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2513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Sheet5!$A$2:$A$6</c:f>
              <c:strCache>
                <c:ptCount val="5"/>
                <c:pt idx="0">
                  <c:v>14.21</c:v>
                </c:pt>
                <c:pt idx="1">
                  <c:v>14.2875</c:v>
                </c:pt>
                <c:pt idx="2">
                  <c:v>14.365</c:v>
                </c:pt>
                <c:pt idx="3">
                  <c:v>14.4425</c:v>
                </c:pt>
                <c:pt idx="4">
                  <c:v>More</c:v>
                </c:pt>
              </c:strCache>
            </c:strRef>
          </c:cat>
          <c:val>
            <c:numRef>
              <c:f>Sheet5!$B$2:$B$6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B-43AC-A749-D78176CC1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514432"/>
        <c:axId val="702516352"/>
      </c:barChart>
      <c:catAx>
        <c:axId val="70251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2516352"/>
        <c:crosses val="autoZero"/>
        <c:auto val="1"/>
        <c:lblAlgn val="ctr"/>
        <c:lblOffset val="100"/>
        <c:noMultiLvlLbl val="0"/>
      </c:catAx>
      <c:valAx>
        <c:axId val="702516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2514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026132525391488"/>
          <c:y val="5.6935817805383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Scatter_Plot_Analysis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'Drilling Cost Analysis'!$C$2:$C$22</c:f>
              <c:numCache>
                <c:formatCode>General</c:formatCode>
                <c:ptCount val="21"/>
                <c:pt idx="0">
                  <c:v>1480500</c:v>
                </c:pt>
                <c:pt idx="1">
                  <c:v>1482500</c:v>
                </c:pt>
                <c:pt idx="2">
                  <c:v>1500000</c:v>
                </c:pt>
                <c:pt idx="3">
                  <c:v>1490000</c:v>
                </c:pt>
                <c:pt idx="4">
                  <c:v>1515000</c:v>
                </c:pt>
                <c:pt idx="5">
                  <c:v>1513000</c:v>
                </c:pt>
                <c:pt idx="6">
                  <c:v>1530000</c:v>
                </c:pt>
                <c:pt idx="7">
                  <c:v>1560000</c:v>
                </c:pt>
                <c:pt idx="8">
                  <c:v>1600000</c:v>
                </c:pt>
                <c:pt idx="9">
                  <c:v>1650000</c:v>
                </c:pt>
                <c:pt idx="10">
                  <c:v>1700000</c:v>
                </c:pt>
                <c:pt idx="11">
                  <c:v>1800000</c:v>
                </c:pt>
                <c:pt idx="12">
                  <c:v>1810000</c:v>
                </c:pt>
                <c:pt idx="13">
                  <c:v>1850000</c:v>
                </c:pt>
                <c:pt idx="14">
                  <c:v>1840000</c:v>
                </c:pt>
                <c:pt idx="15">
                  <c:v>1950000</c:v>
                </c:pt>
                <c:pt idx="16">
                  <c:v>1960000</c:v>
                </c:pt>
                <c:pt idx="17">
                  <c:v>1900000</c:v>
                </c:pt>
                <c:pt idx="18">
                  <c:v>2020000</c:v>
                </c:pt>
              </c:numCache>
            </c:numRef>
          </c:xVal>
          <c:yVal>
            <c:numRef>
              <c:f>'Drilling Cost Analysis'!$I$2:$I$22</c:f>
              <c:numCache>
                <c:formatCode>General</c:formatCode>
                <c:ptCount val="21"/>
                <c:pt idx="0">
                  <c:v>1482072.9098528628</c:v>
                </c:pt>
                <c:pt idx="1">
                  <c:v>1482798.9279371786</c:v>
                </c:pt>
                <c:pt idx="2">
                  <c:v>1500330.4593663719</c:v>
                </c:pt>
                <c:pt idx="3">
                  <c:v>1511392.7709606984</c:v>
                </c:pt>
                <c:pt idx="4">
                  <c:v>1513615.0019210442</c:v>
                </c:pt>
                <c:pt idx="5">
                  <c:v>1515098.3041485029</c:v>
                </c:pt>
                <c:pt idx="6">
                  <c:v>1533762.691117543</c:v>
                </c:pt>
                <c:pt idx="7">
                  <c:v>1574095.0987050829</c:v>
                </c:pt>
                <c:pt idx="8">
                  <c:v>1610747.990609207</c:v>
                </c:pt>
                <c:pt idx="9">
                  <c:v>1610747.990609207</c:v>
                </c:pt>
                <c:pt idx="10">
                  <c:v>1671012.3895317116</c:v>
                </c:pt>
                <c:pt idx="11">
                  <c:v>1798389.728050892</c:v>
                </c:pt>
                <c:pt idx="12">
                  <c:v>1805449.5926744512</c:v>
                </c:pt>
                <c:pt idx="13">
                  <c:v>1842971.1117245066</c:v>
                </c:pt>
                <c:pt idx="14">
                  <c:v>1864761.0559708534</c:v>
                </c:pt>
                <c:pt idx="15">
                  <c:v>1935476.7410583484</c:v>
                </c:pt>
                <c:pt idx="16">
                  <c:v>1954527.7573947401</c:v>
                </c:pt>
                <c:pt idx="17">
                  <c:v>1954527.7573947401</c:v>
                </c:pt>
                <c:pt idx="18">
                  <c:v>2007890.5159681372</c:v>
                </c:pt>
                <c:pt idx="19">
                  <c:v>1556463.7054396097</c:v>
                </c:pt>
                <c:pt idx="20">
                  <c:v>2083013.5741699683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66-4A70-AC73-944597810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08736"/>
        <c:axId val="68782398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'Drilling Cost Analysis'!$A$2:$A$22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'Drilling Cost Analysis'!$C$2:$C$22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1480500</c:v>
                      </c:pt>
                      <c:pt idx="1">
                        <c:v>1482500</c:v>
                      </c:pt>
                      <c:pt idx="2">
                        <c:v>1500000</c:v>
                      </c:pt>
                      <c:pt idx="3">
                        <c:v>1490000</c:v>
                      </c:pt>
                      <c:pt idx="4">
                        <c:v>1515000</c:v>
                      </c:pt>
                      <c:pt idx="5">
                        <c:v>1513000</c:v>
                      </c:pt>
                      <c:pt idx="6">
                        <c:v>1530000</c:v>
                      </c:pt>
                      <c:pt idx="7">
                        <c:v>1560000</c:v>
                      </c:pt>
                      <c:pt idx="8">
                        <c:v>1600000</c:v>
                      </c:pt>
                      <c:pt idx="9">
                        <c:v>1650000</c:v>
                      </c:pt>
                      <c:pt idx="10">
                        <c:v>1700000</c:v>
                      </c:pt>
                      <c:pt idx="11">
                        <c:v>1800000</c:v>
                      </c:pt>
                      <c:pt idx="12">
                        <c:v>1810000</c:v>
                      </c:pt>
                      <c:pt idx="13">
                        <c:v>1850000</c:v>
                      </c:pt>
                      <c:pt idx="14">
                        <c:v>1840000</c:v>
                      </c:pt>
                      <c:pt idx="15">
                        <c:v>1950000</c:v>
                      </c:pt>
                      <c:pt idx="16">
                        <c:v>1960000</c:v>
                      </c:pt>
                      <c:pt idx="17">
                        <c:v>1900000</c:v>
                      </c:pt>
                      <c:pt idx="18">
                        <c:v>2020000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366-4A70-AC73-944597810651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Analysis'!$D$2:$D$22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14.21</c:v>
                      </c:pt>
                      <c:pt idx="1">
                        <c:v>14.21</c:v>
                      </c:pt>
                      <c:pt idx="2">
                        <c:v>14.22</c:v>
                      </c:pt>
                      <c:pt idx="3">
                        <c:v>14.21</c:v>
                      </c:pt>
                      <c:pt idx="4">
                        <c:v>14.23</c:v>
                      </c:pt>
                      <c:pt idx="5">
                        <c:v>14.23</c:v>
                      </c:pt>
                      <c:pt idx="6">
                        <c:v>14.24</c:v>
                      </c:pt>
                      <c:pt idx="7">
                        <c:v>14.26</c:v>
                      </c:pt>
                      <c:pt idx="8">
                        <c:v>14.29</c:v>
                      </c:pt>
                      <c:pt idx="9">
                        <c:v>14.32</c:v>
                      </c:pt>
                      <c:pt idx="10">
                        <c:v>14.35</c:v>
                      </c:pt>
                      <c:pt idx="11">
                        <c:v>14.4</c:v>
                      </c:pt>
                      <c:pt idx="12">
                        <c:v>14.41</c:v>
                      </c:pt>
                      <c:pt idx="13">
                        <c:v>14.43</c:v>
                      </c:pt>
                      <c:pt idx="14">
                        <c:v>14.43</c:v>
                      </c:pt>
                      <c:pt idx="15">
                        <c:v>14.48</c:v>
                      </c:pt>
                      <c:pt idx="16">
                        <c:v>14.49</c:v>
                      </c:pt>
                      <c:pt idx="17">
                        <c:v>14.46</c:v>
                      </c:pt>
                      <c:pt idx="18">
                        <c:v>14.52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66-4A70-AC73-944597810651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Analysis'!$E$2:$E$22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178309</c:v>
                      </c:pt>
                      <c:pt idx="1">
                        <c:v>178468.1</c:v>
                      </c:pt>
                      <c:pt idx="2">
                        <c:v>182028.5</c:v>
                      </c:pt>
                      <c:pt idx="3">
                        <c:v>184075</c:v>
                      </c:pt>
                      <c:pt idx="4">
                        <c:v>184717.4</c:v>
                      </c:pt>
                      <c:pt idx="5">
                        <c:v>184984.9</c:v>
                      </c:pt>
                      <c:pt idx="6">
                        <c:v>188690.3</c:v>
                      </c:pt>
                      <c:pt idx="7">
                        <c:v>196505.5</c:v>
                      </c:pt>
                      <c:pt idx="8">
                        <c:v>203568.6</c:v>
                      </c:pt>
                      <c:pt idx="9">
                        <c:v>204007.1</c:v>
                      </c:pt>
                      <c:pt idx="10">
                        <c:v>215192.1</c:v>
                      </c:pt>
                      <c:pt idx="11">
                        <c:v>237654.39999999999</c:v>
                      </c:pt>
                      <c:pt idx="12">
                        <c:v>238898.5</c:v>
                      </c:pt>
                      <c:pt idx="13">
                        <c:v>245321.8</c:v>
                      </c:pt>
                      <c:pt idx="14">
                        <c:v>248691.8</c:v>
                      </c:pt>
                      <c:pt idx="15">
                        <c:v>260700</c:v>
                      </c:pt>
                      <c:pt idx="16">
                        <c:v>263689.90000000002</c:v>
                      </c:pt>
                      <c:pt idx="17">
                        <c:v>263124</c:v>
                      </c:pt>
                      <c:pt idx="18">
                        <c:v>272223.90000000002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366-4A70-AC73-944597810651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201.86</c:v>
                      </c:pt>
                      <c:pt idx="1">
                        <c:v>201.9</c:v>
                      </c:pt>
                      <c:pt idx="2">
                        <c:v>202.24</c:v>
                      </c:pt>
                      <c:pt idx="3">
                        <c:v>202.05</c:v>
                      </c:pt>
                      <c:pt idx="4">
                        <c:v>202.52</c:v>
                      </c:pt>
                      <c:pt idx="5">
                        <c:v>202.48</c:v>
                      </c:pt>
                      <c:pt idx="6">
                        <c:v>202.8</c:v>
                      </c:pt>
                      <c:pt idx="7">
                        <c:v>203.35</c:v>
                      </c:pt>
                      <c:pt idx="8">
                        <c:v>204.08</c:v>
                      </c:pt>
                      <c:pt idx="9">
                        <c:v>204.96</c:v>
                      </c:pt>
                      <c:pt idx="10">
                        <c:v>205.81</c:v>
                      </c:pt>
                      <c:pt idx="11">
                        <c:v>207.45</c:v>
                      </c:pt>
                      <c:pt idx="12">
                        <c:v>207.61</c:v>
                      </c:pt>
                      <c:pt idx="13">
                        <c:v>208.24</c:v>
                      </c:pt>
                      <c:pt idx="14">
                        <c:v>208.09</c:v>
                      </c:pt>
                      <c:pt idx="15">
                        <c:v>209.77</c:v>
                      </c:pt>
                      <c:pt idx="16">
                        <c:v>209.92</c:v>
                      </c:pt>
                      <c:pt idx="17">
                        <c:v>209.02</c:v>
                      </c:pt>
                      <c:pt idx="18">
                        <c:v>210.79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366-4A70-AC73-944597810651}"/>
                  </c:ext>
                </c:extLst>
              </c15:ser>
            </c15:filteredScatterSeries>
            <c15:filteredScatterSeries>
              <c15:ser>
                <c:idx val="5"/>
                <c:order val="5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Analysis'!$G$2:$G$22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157502500</c:v>
                      </c:pt>
                      <c:pt idx="1">
                        <c:v>157753600</c:v>
                      </c:pt>
                      <c:pt idx="2">
                        <c:v>163840000</c:v>
                      </c:pt>
                      <c:pt idx="3">
                        <c:v>167702500</c:v>
                      </c:pt>
                      <c:pt idx="4">
                        <c:v>168480400</c:v>
                      </c:pt>
                      <c:pt idx="5">
                        <c:v>169000000</c:v>
                      </c:pt>
                      <c:pt idx="6">
                        <c:v>175562500</c:v>
                      </c:pt>
                      <c:pt idx="7">
                        <c:v>189888400</c:v>
                      </c:pt>
                      <c:pt idx="8">
                        <c:v>203062500</c:v>
                      </c:pt>
                      <c:pt idx="9">
                        <c:v>203062500</c:v>
                      </c:pt>
                      <c:pt idx="10">
                        <c:v>225000000</c:v>
                      </c:pt>
                      <c:pt idx="11">
                        <c:v>272250000</c:v>
                      </c:pt>
                      <c:pt idx="12">
                        <c:v>274896400</c:v>
                      </c:pt>
                      <c:pt idx="13">
                        <c:v>289000000</c:v>
                      </c:pt>
                      <c:pt idx="14">
                        <c:v>297217600</c:v>
                      </c:pt>
                      <c:pt idx="15">
                        <c:v>324000000</c:v>
                      </c:pt>
                      <c:pt idx="16">
                        <c:v>331240000</c:v>
                      </c:pt>
                      <c:pt idx="17">
                        <c:v>331240000</c:v>
                      </c:pt>
                      <c:pt idx="18">
                        <c:v>351562500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66-4A70-AC73-944597810651}"/>
                  </c:ext>
                </c:extLst>
              </c15:ser>
            </c15:filteredScatterSeries>
            <c15:filteredScatterSeries>
              <c15:ser>
                <c:idx val="6"/>
                <c:order val="6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Analysis'!$H$2:$H$22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1481868</c:v>
                      </c:pt>
                      <c:pt idx="1">
                        <c:v>1482592</c:v>
                      </c:pt>
                      <c:pt idx="2">
                        <c:v>1500058</c:v>
                      </c:pt>
                      <c:pt idx="3">
                        <c:v>1511079</c:v>
                      </c:pt>
                      <c:pt idx="4">
                        <c:v>1513293</c:v>
                      </c:pt>
                      <c:pt idx="5">
                        <c:v>1514770</c:v>
                      </c:pt>
                      <c:pt idx="6">
                        <c:v>1533364</c:v>
                      </c:pt>
                      <c:pt idx="7">
                        <c:v>1573540</c:v>
                      </c:pt>
                      <c:pt idx="8">
                        <c:v>1610048</c:v>
                      </c:pt>
                      <c:pt idx="9">
                        <c:v>1610048</c:v>
                      </c:pt>
                      <c:pt idx="10">
                        <c:v>1670068</c:v>
                      </c:pt>
                      <c:pt idx="11">
                        <c:v>1796903</c:v>
                      </c:pt>
                      <c:pt idx="12">
                        <c:v>1803932</c:v>
                      </c:pt>
                      <c:pt idx="13">
                        <c:v>1841287</c:v>
                      </c:pt>
                      <c:pt idx="14">
                        <c:v>1862979</c:v>
                      </c:pt>
                      <c:pt idx="15">
                        <c:v>1933370</c:v>
                      </c:pt>
                      <c:pt idx="16">
                        <c:v>1952332</c:v>
                      </c:pt>
                      <c:pt idx="17">
                        <c:v>1952332</c:v>
                      </c:pt>
                      <c:pt idx="18">
                        <c:v>2005443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366-4A70-AC73-944597810651}"/>
                  </c:ext>
                </c:extLst>
              </c15:ser>
            </c15:filteredScatterSeries>
            <c15:filteredScatterSeries>
              <c15:ser>
                <c:idx val="7"/>
                <c:order val="7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Analysis'!$I$2:$I$22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1482072.9098528628</c:v>
                      </c:pt>
                      <c:pt idx="1">
                        <c:v>1482798.9279371786</c:v>
                      </c:pt>
                      <c:pt idx="2">
                        <c:v>1500330.4593663719</c:v>
                      </c:pt>
                      <c:pt idx="3">
                        <c:v>1511392.7709606984</c:v>
                      </c:pt>
                      <c:pt idx="4">
                        <c:v>1513615.0019210442</c:v>
                      </c:pt>
                      <c:pt idx="5">
                        <c:v>1515098.3041485029</c:v>
                      </c:pt>
                      <c:pt idx="6">
                        <c:v>1533762.691117543</c:v>
                      </c:pt>
                      <c:pt idx="7">
                        <c:v>1574095.0987050829</c:v>
                      </c:pt>
                      <c:pt idx="8">
                        <c:v>1610747.990609207</c:v>
                      </c:pt>
                      <c:pt idx="9">
                        <c:v>1610747.990609207</c:v>
                      </c:pt>
                      <c:pt idx="10">
                        <c:v>1671012.3895317116</c:v>
                      </c:pt>
                      <c:pt idx="11">
                        <c:v>1798389.728050892</c:v>
                      </c:pt>
                      <c:pt idx="12">
                        <c:v>1805449.5926744512</c:v>
                      </c:pt>
                      <c:pt idx="13">
                        <c:v>1842971.1117245066</c:v>
                      </c:pt>
                      <c:pt idx="14">
                        <c:v>1864761.0559708534</c:v>
                      </c:pt>
                      <c:pt idx="15">
                        <c:v>1935476.7410583484</c:v>
                      </c:pt>
                      <c:pt idx="16">
                        <c:v>1954527.7573947401</c:v>
                      </c:pt>
                      <c:pt idx="17">
                        <c:v>1954527.7573947401</c:v>
                      </c:pt>
                      <c:pt idx="18">
                        <c:v>2007890.5159681372</c:v>
                      </c:pt>
                      <c:pt idx="19">
                        <c:v>1556463.7054396097</c:v>
                      </c:pt>
                      <c:pt idx="20">
                        <c:v>2083013.5741699683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366-4A70-AC73-944597810651}"/>
                  </c:ext>
                </c:extLst>
              </c15:ser>
            </c15:filteredScatterSeries>
            <c15:filteredScatterSeries>
              <c15:ser>
                <c:idx val="8"/>
                <c:order val="8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'Drilling Cost Analysis'!$J$2:$J$22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1572.9098528628238</c:v>
                      </c:pt>
                      <c:pt idx="1">
                        <c:v>298.9279371786397</c:v>
                      </c:pt>
                      <c:pt idx="2">
                        <c:v>330.45936637185514</c:v>
                      </c:pt>
                      <c:pt idx="3">
                        <c:v>21392.77096069837</c:v>
                      </c:pt>
                      <c:pt idx="4">
                        <c:v>-1384.9980789558031</c:v>
                      </c:pt>
                      <c:pt idx="5">
                        <c:v>2098.3041485028807</c:v>
                      </c:pt>
                      <c:pt idx="6">
                        <c:v>3762.6911175430287</c:v>
                      </c:pt>
                      <c:pt idx="7">
                        <c:v>14095.098705082899</c:v>
                      </c:pt>
                      <c:pt idx="8">
                        <c:v>10747.990609206958</c:v>
                      </c:pt>
                      <c:pt idx="9">
                        <c:v>-39252.009390793042</c:v>
                      </c:pt>
                      <c:pt idx="10">
                        <c:v>-28987.610468288418</c:v>
                      </c:pt>
                      <c:pt idx="11">
                        <c:v>-1610.2719491079915</c:v>
                      </c:pt>
                      <c:pt idx="12">
                        <c:v>-4550.4073255488183</c:v>
                      </c:pt>
                      <c:pt idx="13">
                        <c:v>-7028.888275493402</c:v>
                      </c:pt>
                      <c:pt idx="14">
                        <c:v>24761.055970853427</c:v>
                      </c:pt>
                      <c:pt idx="15">
                        <c:v>-14523.258941651555</c:v>
                      </c:pt>
                      <c:pt idx="16">
                        <c:v>-5472.2426052598748</c:v>
                      </c:pt>
                      <c:pt idx="17">
                        <c:v>54527.757394740125</c:v>
                      </c:pt>
                      <c:pt idx="18">
                        <c:v>-12109.484031862812</c:v>
                      </c:pt>
                      <c:pt idx="19">
                        <c:v>1556463.7054396097</c:v>
                      </c:pt>
                      <c:pt idx="20">
                        <c:v>2083013.5741699683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366-4A70-AC73-944597810651}"/>
                  </c:ext>
                </c:extLst>
              </c15:ser>
            </c15:filteredScatterSeries>
          </c:ext>
        </c:extLst>
      </c:scatterChart>
      <c:valAx>
        <c:axId val="12060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Predicted_Cost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23984"/>
        <c:crosses val="autoZero"/>
        <c:crossBetween val="midCat"/>
      </c:valAx>
      <c:valAx>
        <c:axId val="68782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0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449580</xdr:colOff>
      <xdr:row>9</xdr:row>
      <xdr:rowOff>121920</xdr:rowOff>
    </xdr:from>
    <xdr:to>
      <xdr:col>14</xdr:col>
      <xdr:colOff>449580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074E74-B1FC-99CD-9A9F-9A124EFC3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160020</xdr:rowOff>
    </xdr:from>
    <xdr:to>
      <xdr:col>9</xdr:col>
      <xdr:colOff>251460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A6DD1-00C6-BFBF-A26D-6B79BA4E0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160020</xdr:rowOff>
    </xdr:from>
    <xdr:to>
      <xdr:col>9</xdr:col>
      <xdr:colOff>7620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F69A85-46CB-4DBA-E12A-FCEFE3A4A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487180</xdr:colOff>
      <xdr:row>24</xdr:row>
      <xdr:rowOff>74950</xdr:rowOff>
    </xdr:from>
    <xdr:to>
      <xdr:col>8</xdr:col>
      <xdr:colOff>379626</xdr:colOff>
      <xdr:row>36</xdr:row>
      <xdr:rowOff>161393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1448DF-6135-9810-3BF0-C2CBB7FEB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2D360-2BC7-4993-A7A2-645446CCC796}" name="Table1" displayName="Table1" ref="A1:J22" totalsRowShown="0" headerRowDxfId="11" dataDxfId="10">
  <autoFilter ref="A1:J22" xr:uid="{0512D360-2BC7-4993-A7A2-645446CCC796}"/>
  <tableColumns count="10">
    <tableColumn id="1" xr3:uid="{30D33A50-E2D9-4FD8-997F-AE420F5258DF}" name="Well" dataDxfId="9"/>
    <tableColumn id="2" xr3:uid="{EC827CA1-8FD5-411F-83FD-13061F979128}" name="Depth" dataDxfId="8"/>
    <tableColumn id="3" xr3:uid="{2C1CA7BF-540A-4A90-9C9D-22427CA43393}" name="Cost" dataDxfId="7"/>
    <tableColumn id="4" xr3:uid="{3C576B3A-F78B-433E-82DA-CA3E8823AB00}" name="ln_Cost" dataDxfId="6"/>
    <tableColumn id="5" xr3:uid="{32F9FD8A-5515-4EAC-9D08-BA589C57B814}" name="Depth*ln Cost" dataDxfId="5"/>
    <tableColumn id="6" xr3:uid="{C6458A5F-A41C-49E3-A4A6-DD23A7C26B31}" name="(ln Cost)^2" dataDxfId="4"/>
    <tableColumn id="7" xr3:uid="{69B752AB-733F-434E-A2F5-925F68924793}" name="Depth^2" dataDxfId="3"/>
    <tableColumn id="8" xr3:uid="{49034F1C-8D58-4440-B02E-0F954CCFD362}" name="Cost Estimate" dataDxfId="2"/>
    <tableColumn id="9" xr3:uid="{A5A49DD9-5D61-473E-BF25-05CF08E5C093}" name="Predicted_Cost" dataDxfId="1">
      <calculatedColumnFormula>$M$9*EXP($M$7*$B2)</calculatedColumnFormula>
    </tableColumn>
    <tableColumn id="10" xr3:uid="{2ECEDF48-608A-4E0D-BB03-BF57B8D65181}" name="Residuals" dataDxfId="0">
      <calculatedColumnFormula>$I2-$C2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16C7-390C-49A0-9852-737613F78649}">
  <dimension ref="A1:I42"/>
  <sheetViews>
    <sheetView topLeftCell="A3" workbookViewId="0">
      <selection activeCell="C8" sqref="C8"/>
    </sheetView>
  </sheetViews>
  <sheetFormatPr defaultRowHeight="13.2" x14ac:dyDescent="0.25"/>
  <cols>
    <col min="1" max="1" width="17.77734375" bestFit="1" customWidth="1"/>
    <col min="2" max="2" width="14.77734375" bestFit="1" customWidth="1"/>
    <col min="3" max="3" width="14" bestFit="1" customWidth="1"/>
    <col min="4" max="4" width="12" bestFit="1" customWidth="1"/>
    <col min="5" max="5" width="12.33203125" bestFit="1" customWidth="1"/>
    <col min="6" max="6" width="13.44140625" bestFit="1" customWidth="1"/>
  </cols>
  <sheetData>
    <row r="1" spans="1:9" x14ac:dyDescent="0.25">
      <c r="A1" t="s">
        <v>7</v>
      </c>
    </row>
    <row r="2" spans="1:9" ht="13.8" thickBot="1" x14ac:dyDescent="0.3"/>
    <row r="3" spans="1:9" x14ac:dyDescent="0.25">
      <c r="A3" s="5" t="s">
        <v>8</v>
      </c>
      <c r="B3" s="5"/>
    </row>
    <row r="4" spans="1:9" x14ac:dyDescent="0.25">
      <c r="A4" t="s">
        <v>9</v>
      </c>
      <c r="B4">
        <v>0.9938527838827762</v>
      </c>
    </row>
    <row r="5" spans="1:9" x14ac:dyDescent="0.25">
      <c r="A5" t="s">
        <v>10</v>
      </c>
      <c r="B5">
        <v>0.98774335603154417</v>
      </c>
    </row>
    <row r="6" spans="1:9" x14ac:dyDescent="0.25">
      <c r="A6" t="s">
        <v>11</v>
      </c>
      <c r="B6">
        <v>0.98697731578351577</v>
      </c>
    </row>
    <row r="7" spans="1:9" x14ac:dyDescent="0.25">
      <c r="A7" t="s">
        <v>12</v>
      </c>
      <c r="B7">
        <v>1.2537601800003254E-2</v>
      </c>
    </row>
    <row r="8" spans="1:9" ht="13.8" thickBot="1" x14ac:dyDescent="0.3">
      <c r="A8" s="3" t="s">
        <v>13</v>
      </c>
      <c r="B8" s="3">
        <v>18</v>
      </c>
    </row>
    <row r="10" spans="1:9" ht="13.8" thickBot="1" x14ac:dyDescent="0.3">
      <c r="A10" t="s">
        <v>14</v>
      </c>
    </row>
    <row r="11" spans="1:9" x14ac:dyDescent="0.25">
      <c r="A11" s="4"/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</row>
    <row r="12" spans="1:9" x14ac:dyDescent="0.25">
      <c r="A12" t="s">
        <v>15</v>
      </c>
      <c r="B12">
        <v>1</v>
      </c>
      <c r="C12">
        <v>0.20268493665767232</v>
      </c>
      <c r="D12">
        <v>0.20268493665767232</v>
      </c>
      <c r="E12">
        <v>1289.4144381755964</v>
      </c>
      <c r="F12">
        <v>1.0056577069284795E-16</v>
      </c>
    </row>
    <row r="13" spans="1:9" x14ac:dyDescent="0.25">
      <c r="A13" t="s">
        <v>16</v>
      </c>
      <c r="B13">
        <v>16</v>
      </c>
      <c r="C13">
        <v>2.5150633423271168E-3</v>
      </c>
      <c r="D13">
        <v>1.571914588954448E-4</v>
      </c>
    </row>
    <row r="14" spans="1:9" ht="13.8" thickBot="1" x14ac:dyDescent="0.3">
      <c r="A14" s="3" t="s">
        <v>17</v>
      </c>
      <c r="B14" s="3">
        <v>17</v>
      </c>
      <c r="C14" s="3">
        <v>0.20519999999999944</v>
      </c>
      <c r="D14" s="3"/>
      <c r="E14" s="3"/>
      <c r="F14" s="3"/>
    </row>
    <row r="15" spans="1:9" ht="13.8" thickBot="1" x14ac:dyDescent="0.3"/>
    <row r="16" spans="1:9" x14ac:dyDescent="0.25">
      <c r="A16" s="4"/>
      <c r="B16" s="4" t="s">
        <v>24</v>
      </c>
      <c r="C16" s="4" t="s">
        <v>12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 spans="1:9" x14ac:dyDescent="0.25">
      <c r="A17" t="s">
        <v>18</v>
      </c>
      <c r="B17">
        <v>13.594320172409521</v>
      </c>
      <c r="C17">
        <v>2.1067276500136574E-2</v>
      </c>
      <c r="D17">
        <v>645.28132871476726</v>
      </c>
      <c r="E17">
        <v>9.3314000666513215E-37</v>
      </c>
      <c r="F17">
        <v>13.549659541316721</v>
      </c>
      <c r="G17">
        <v>13.638980803502321</v>
      </c>
      <c r="H17">
        <v>13.549659541316721</v>
      </c>
      <c r="I17">
        <v>13.638980803502321</v>
      </c>
    </row>
    <row r="18" spans="1:9" ht="13.8" thickBot="1" x14ac:dyDescent="0.3">
      <c r="A18" s="3">
        <v>12550</v>
      </c>
      <c r="B18" s="3">
        <v>4.8974669972133465E-5</v>
      </c>
      <c r="C18" s="3">
        <v>1.3638771507111618E-6</v>
      </c>
      <c r="D18" s="3">
        <v>35.908417372192773</v>
      </c>
      <c r="E18" s="3">
        <v>1.0056577069284868E-16</v>
      </c>
      <c r="F18" s="3">
        <v>4.6083379572854084E-5</v>
      </c>
      <c r="G18" s="3">
        <v>5.1865960371412846E-5</v>
      </c>
      <c r="H18" s="3">
        <v>4.6083379572854084E-5</v>
      </c>
      <c r="I18" s="3">
        <v>5.1865960371412846E-5</v>
      </c>
    </row>
    <row r="22" spans="1:9" x14ac:dyDescent="0.25">
      <c r="A22" t="s">
        <v>31</v>
      </c>
    </row>
    <row r="23" spans="1:9" ht="13.8" thickBot="1" x14ac:dyDescent="0.3"/>
    <row r="24" spans="1:9" x14ac:dyDescent="0.25">
      <c r="A24" s="4" t="s">
        <v>32</v>
      </c>
      <c r="B24" s="4" t="s">
        <v>34</v>
      </c>
      <c r="C24" s="4" t="s">
        <v>33</v>
      </c>
    </row>
    <row r="25" spans="1:9" x14ac:dyDescent="0.25">
      <c r="A25">
        <v>1</v>
      </c>
      <c r="B25">
        <v>14.209442027259517</v>
      </c>
      <c r="C25">
        <v>5.5797274048430268E-4</v>
      </c>
    </row>
    <row r="26" spans="1:9" x14ac:dyDescent="0.25">
      <c r="A26">
        <v>2</v>
      </c>
      <c r="B26">
        <v>14.221195948052829</v>
      </c>
      <c r="C26">
        <v>-1.1959480528282995E-3</v>
      </c>
    </row>
    <row r="27" spans="1:9" x14ac:dyDescent="0.25">
      <c r="A27">
        <v>3</v>
      </c>
      <c r="B27">
        <v>14.22854214854865</v>
      </c>
      <c r="C27">
        <v>-1.8542148548648996E-2</v>
      </c>
    </row>
    <row r="28" spans="1:9" x14ac:dyDescent="0.25">
      <c r="A28">
        <v>4</v>
      </c>
      <c r="B28">
        <v>14.230011388647814</v>
      </c>
      <c r="C28">
        <v>-1.1388647813248554E-5</v>
      </c>
    </row>
    <row r="29" spans="1:9" x14ac:dyDescent="0.25">
      <c r="A29">
        <v>5</v>
      </c>
      <c r="B29">
        <v>14.230990882047257</v>
      </c>
      <c r="C29">
        <v>-9.9088204725639173E-4</v>
      </c>
    </row>
    <row r="30" spans="1:9" x14ac:dyDescent="0.25">
      <c r="A30">
        <v>6</v>
      </c>
      <c r="B30">
        <v>14.24323454954029</v>
      </c>
      <c r="C30">
        <v>-3.2345495402896773E-3</v>
      </c>
    </row>
    <row r="31" spans="1:9" x14ac:dyDescent="0.25">
      <c r="A31">
        <v>7</v>
      </c>
      <c r="B31">
        <v>14.26919112462552</v>
      </c>
      <c r="C31">
        <v>-9.1911246255200751E-3</v>
      </c>
    </row>
    <row r="32" spans="1:9" x14ac:dyDescent="0.25">
      <c r="A32">
        <v>8</v>
      </c>
      <c r="B32">
        <v>14.292209219512422</v>
      </c>
      <c r="C32">
        <v>-2.2092195124230329E-3</v>
      </c>
    </row>
    <row r="33" spans="1:3" x14ac:dyDescent="0.25">
      <c r="A33">
        <v>9</v>
      </c>
      <c r="B33">
        <v>14.292209219512422</v>
      </c>
      <c r="C33">
        <v>2.7790780487578104E-2</v>
      </c>
    </row>
    <row r="34" spans="1:3" x14ac:dyDescent="0.25">
      <c r="A34">
        <v>10</v>
      </c>
      <c r="B34">
        <v>14.328940221991523</v>
      </c>
      <c r="C34">
        <v>2.1059778008476471E-2</v>
      </c>
    </row>
    <row r="35" spans="1:3" x14ac:dyDescent="0.25">
      <c r="A35">
        <v>11</v>
      </c>
      <c r="B35">
        <v>14.402402226949723</v>
      </c>
      <c r="C35">
        <v>-2.4022269497230297E-3</v>
      </c>
    </row>
    <row r="36" spans="1:3" x14ac:dyDescent="0.25">
      <c r="A36">
        <v>12</v>
      </c>
      <c r="B36">
        <v>14.406320200547494</v>
      </c>
      <c r="C36">
        <v>3.6797994525059607E-3</v>
      </c>
    </row>
    <row r="37" spans="1:3" x14ac:dyDescent="0.25">
      <c r="A37">
        <v>13</v>
      </c>
      <c r="B37">
        <v>14.42688956193579</v>
      </c>
      <c r="C37">
        <v>3.1104380642101859E-3</v>
      </c>
    </row>
    <row r="38" spans="1:3" x14ac:dyDescent="0.25">
      <c r="A38">
        <v>14</v>
      </c>
      <c r="B38">
        <v>14.438643482729102</v>
      </c>
      <c r="C38">
        <v>-8.6434827291022032E-3</v>
      </c>
    </row>
    <row r="39" spans="1:3" x14ac:dyDescent="0.25">
      <c r="A39">
        <v>15</v>
      </c>
      <c r="B39">
        <v>14.475864231907924</v>
      </c>
      <c r="C39">
        <v>4.1357680920768303E-3</v>
      </c>
    </row>
    <row r="40" spans="1:3" x14ac:dyDescent="0.25">
      <c r="A40">
        <v>16</v>
      </c>
      <c r="B40">
        <v>14.48565916590235</v>
      </c>
      <c r="C40">
        <v>4.3408340976505144E-3</v>
      </c>
    </row>
    <row r="41" spans="1:3" x14ac:dyDescent="0.25">
      <c r="A41">
        <v>17</v>
      </c>
      <c r="B41">
        <v>14.48565916590235</v>
      </c>
      <c r="C41">
        <v>-2.5659165902348846E-2</v>
      </c>
    </row>
    <row r="42" spans="1:3" ht="13.8" thickBot="1" x14ac:dyDescent="0.3">
      <c r="A42" s="3">
        <v>18</v>
      </c>
      <c r="B42" s="3">
        <v>14.512595234387023</v>
      </c>
      <c r="C42" s="3">
        <v>7.4047656129767603E-3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1008-545A-4A89-A60D-40D50C0028C3}">
  <dimension ref="A1:I18"/>
  <sheetViews>
    <sheetView workbookViewId="0">
      <selection activeCell="J6" sqref="J6"/>
    </sheetView>
  </sheetViews>
  <sheetFormatPr defaultRowHeight="13.2" x14ac:dyDescent="0.25"/>
  <cols>
    <col min="1" max="1" width="17.77734375" bestFit="1" customWidth="1"/>
    <col min="2" max="2" width="12.33203125" bestFit="1" customWidth="1"/>
    <col min="3" max="3" width="14" bestFit="1" customWidth="1"/>
    <col min="4" max="4" width="12" bestFit="1" customWidth="1"/>
    <col min="5" max="5" width="12.33203125" bestFit="1" customWidth="1"/>
    <col min="6" max="6" width="13.44140625" bestFit="1" customWidth="1"/>
    <col min="7" max="7" width="12.33203125" bestFit="1" customWidth="1"/>
    <col min="8" max="9" width="12.44140625" bestFit="1" customWidth="1"/>
  </cols>
  <sheetData>
    <row r="1" spans="1:9" x14ac:dyDescent="0.25">
      <c r="A1" t="s">
        <v>7</v>
      </c>
    </row>
    <row r="2" spans="1:9" ht="13.8" thickBot="1" x14ac:dyDescent="0.3"/>
    <row r="3" spans="1:9" x14ac:dyDescent="0.25">
      <c r="A3" s="10" t="s">
        <v>8</v>
      </c>
      <c r="B3" s="10"/>
    </row>
    <row r="4" spans="1:9" x14ac:dyDescent="0.25">
      <c r="A4" s="7" t="s">
        <v>9</v>
      </c>
      <c r="B4" s="7">
        <v>0.99431821625228778</v>
      </c>
    </row>
    <row r="5" spans="1:9" x14ac:dyDescent="0.25">
      <c r="A5" s="7" t="s">
        <v>10</v>
      </c>
      <c r="B5" s="7">
        <v>0.98866871517113142</v>
      </c>
    </row>
    <row r="6" spans="1:9" x14ac:dyDescent="0.25">
      <c r="A6" s="7" t="s">
        <v>11</v>
      </c>
      <c r="B6" s="7">
        <v>0.98800216900472737</v>
      </c>
    </row>
    <row r="7" spans="1:9" x14ac:dyDescent="0.25">
      <c r="A7" s="7" t="s">
        <v>12</v>
      </c>
      <c r="B7" s="7">
        <v>1.216557906732923E-2</v>
      </c>
    </row>
    <row r="8" spans="1:9" ht="13.8" thickBot="1" x14ac:dyDescent="0.3">
      <c r="A8" s="8" t="s">
        <v>13</v>
      </c>
      <c r="B8" s="8">
        <v>19</v>
      </c>
    </row>
    <row r="10" spans="1:9" ht="13.8" thickBot="1" x14ac:dyDescent="0.3">
      <c r="A10" t="s">
        <v>14</v>
      </c>
    </row>
    <row r="11" spans="1:9" x14ac:dyDescent="0.25">
      <c r="A11" s="9"/>
      <c r="B11" s="9" t="s">
        <v>19</v>
      </c>
      <c r="C11" s="9" t="s">
        <v>20</v>
      </c>
      <c r="D11" s="9" t="s">
        <v>21</v>
      </c>
      <c r="E11" s="9" t="s">
        <v>22</v>
      </c>
      <c r="F11" s="9" t="s">
        <v>23</v>
      </c>
    </row>
    <row r="12" spans="1:9" x14ac:dyDescent="0.25">
      <c r="A12" s="7" t="s">
        <v>15</v>
      </c>
      <c r="B12" s="7">
        <v>1</v>
      </c>
      <c r="C12" s="7">
        <v>0.21952608292441869</v>
      </c>
      <c r="D12" s="7">
        <v>0.21952608292441869</v>
      </c>
      <c r="E12" s="7">
        <v>1483.2711746058328</v>
      </c>
      <c r="F12" s="7">
        <v>5.54521504328367E-18</v>
      </c>
    </row>
    <row r="13" spans="1:9" x14ac:dyDescent="0.25">
      <c r="A13" s="7" t="s">
        <v>16</v>
      </c>
      <c r="B13" s="7">
        <v>17</v>
      </c>
      <c r="C13" s="7">
        <v>2.5160223387384654E-3</v>
      </c>
      <c r="D13" s="7">
        <v>1.4800131404343913E-4</v>
      </c>
      <c r="E13" s="7"/>
      <c r="F13" s="7"/>
    </row>
    <row r="14" spans="1:9" ht="13.8" thickBot="1" x14ac:dyDescent="0.3">
      <c r="A14" s="8" t="s">
        <v>17</v>
      </c>
      <c r="B14" s="8">
        <v>18</v>
      </c>
      <c r="C14" s="8">
        <v>0.22204210526315715</v>
      </c>
      <c r="D14" s="8"/>
      <c r="E14" s="8"/>
      <c r="F14" s="8"/>
    </row>
    <row r="15" spans="1:9" ht="13.8" thickBot="1" x14ac:dyDescent="0.3"/>
    <row r="16" spans="1:9" x14ac:dyDescent="0.25">
      <c r="A16" s="9"/>
      <c r="B16" s="9" t="s">
        <v>24</v>
      </c>
      <c r="C16" s="9" t="s">
        <v>12</v>
      </c>
      <c r="D16" s="9" t="s">
        <v>25</v>
      </c>
      <c r="E16" s="9" t="s">
        <v>26</v>
      </c>
      <c r="F16" s="9" t="s">
        <v>27</v>
      </c>
      <c r="G16" s="9" t="s">
        <v>28</v>
      </c>
      <c r="H16" s="9" t="s">
        <v>29</v>
      </c>
      <c r="I16" s="9" t="s">
        <v>30</v>
      </c>
    </row>
    <row r="17" spans="1:9" x14ac:dyDescent="0.25">
      <c r="A17" s="7" t="s">
        <v>18</v>
      </c>
      <c r="B17" s="7">
        <v>13.594825569567762</v>
      </c>
      <c r="C17" s="7">
        <v>1.945409939692732E-2</v>
      </c>
      <c r="D17" s="7">
        <v>698.8154677422383</v>
      </c>
      <c r="E17" s="7">
        <v>2.4258504251501428E-39</v>
      </c>
      <c r="F17" s="7">
        <v>13.553781007607407</v>
      </c>
      <c r="G17" s="7">
        <v>13.635870131528117</v>
      </c>
      <c r="H17" s="7">
        <v>13.553781007607407</v>
      </c>
      <c r="I17" s="7">
        <v>13.635870131528117</v>
      </c>
    </row>
    <row r="18" spans="1:9" ht="13.8" thickBot="1" x14ac:dyDescent="0.3">
      <c r="A18" s="8" t="s">
        <v>46</v>
      </c>
      <c r="B18" s="8">
        <v>4.8944949201683221E-5</v>
      </c>
      <c r="C18" s="8">
        <v>1.2708596870745537E-6</v>
      </c>
      <c r="D18" s="8">
        <v>38.513259724487519</v>
      </c>
      <c r="E18" s="8">
        <v>5.5452150432837093E-18</v>
      </c>
      <c r="F18" s="8">
        <v>4.6263669636652952E-5</v>
      </c>
      <c r="G18" s="8">
        <v>5.1626228766713489E-5</v>
      </c>
      <c r="H18" s="8">
        <v>4.6263669636652952E-5</v>
      </c>
      <c r="I18" s="8">
        <v>5.1626228766713489E-5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0274-A354-4EF2-A2C1-5ED8FC37224D}">
  <dimension ref="A1:B6"/>
  <sheetViews>
    <sheetView workbookViewId="0">
      <selection sqref="A1:B6"/>
    </sheetView>
  </sheetViews>
  <sheetFormatPr defaultRowHeight="13.2" x14ac:dyDescent="0.25"/>
  <sheetData>
    <row r="1" spans="1:2" x14ac:dyDescent="0.25">
      <c r="A1" s="9" t="s">
        <v>47</v>
      </c>
      <c r="B1" s="9" t="s">
        <v>49</v>
      </c>
    </row>
    <row r="2" spans="1:2" x14ac:dyDescent="0.25">
      <c r="A2" s="7">
        <v>1480500</v>
      </c>
      <c r="B2" s="7">
        <v>1</v>
      </c>
    </row>
    <row r="3" spans="1:2" x14ac:dyDescent="0.25">
      <c r="A3" s="7">
        <v>1615375</v>
      </c>
      <c r="B3" s="7">
        <v>8</v>
      </c>
    </row>
    <row r="4" spans="1:2" x14ac:dyDescent="0.25">
      <c r="A4" s="7">
        <v>1750250</v>
      </c>
      <c r="B4" s="7">
        <v>2</v>
      </c>
    </row>
    <row r="5" spans="1:2" x14ac:dyDescent="0.25">
      <c r="A5" s="7">
        <v>1885125</v>
      </c>
      <c r="B5" s="7">
        <v>4</v>
      </c>
    </row>
    <row r="6" spans="1:2" ht="13.8" thickBot="1" x14ac:dyDescent="0.3">
      <c r="A6" s="8" t="s">
        <v>48</v>
      </c>
      <c r="B6" s="8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5B57-D708-4907-A65D-6E05CA9AC773}">
  <dimension ref="A1:B6"/>
  <sheetViews>
    <sheetView workbookViewId="0">
      <selection sqref="A1:B6"/>
    </sheetView>
  </sheetViews>
  <sheetFormatPr defaultRowHeight="13.2" x14ac:dyDescent="0.25"/>
  <sheetData>
    <row r="1" spans="1:2" x14ac:dyDescent="0.25">
      <c r="A1" s="9" t="s">
        <v>47</v>
      </c>
      <c r="B1" s="9" t="s">
        <v>49</v>
      </c>
    </row>
    <row r="2" spans="1:2" x14ac:dyDescent="0.25">
      <c r="A2" s="7">
        <v>14.21</v>
      </c>
      <c r="B2" s="7">
        <v>3</v>
      </c>
    </row>
    <row r="3" spans="1:2" x14ac:dyDescent="0.25">
      <c r="A3" s="7">
        <v>14.287500000000001</v>
      </c>
      <c r="B3" s="7">
        <v>5</v>
      </c>
    </row>
    <row r="4" spans="1:2" x14ac:dyDescent="0.25">
      <c r="A4" s="7">
        <v>14.365</v>
      </c>
      <c r="B4" s="7">
        <v>3</v>
      </c>
    </row>
    <row r="5" spans="1:2" x14ac:dyDescent="0.25">
      <c r="A5" s="7">
        <v>14.442499999999999</v>
      </c>
      <c r="B5" s="7">
        <v>4</v>
      </c>
    </row>
    <row r="6" spans="1:2" ht="13.8" thickBot="1" x14ac:dyDescent="0.3">
      <c r="A6" s="8" t="s">
        <v>48</v>
      </c>
      <c r="B6" s="8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92BC-6759-42CE-8794-4ED5F015A4CF}">
  <dimension ref="A1:I18"/>
  <sheetViews>
    <sheetView workbookViewId="0">
      <selection sqref="A1:I21"/>
    </sheetView>
  </sheetViews>
  <sheetFormatPr defaultRowHeight="13.2" x14ac:dyDescent="0.25"/>
  <cols>
    <col min="1" max="1" width="17.77734375" bestFit="1" customWidth="1"/>
    <col min="2" max="2" width="12" bestFit="1" customWidth="1"/>
    <col min="3" max="3" width="14" bestFit="1" customWidth="1"/>
    <col min="4" max="4" width="12.33203125" bestFit="1" customWidth="1"/>
  </cols>
  <sheetData>
    <row r="1" spans="1:9" x14ac:dyDescent="0.25">
      <c r="A1" t="s">
        <v>7</v>
      </c>
    </row>
    <row r="2" spans="1:9" ht="13.8" thickBot="1" x14ac:dyDescent="0.3"/>
    <row r="3" spans="1:9" x14ac:dyDescent="0.25">
      <c r="A3" s="10" t="s">
        <v>8</v>
      </c>
      <c r="B3" s="10"/>
    </row>
    <row r="4" spans="1:9" x14ac:dyDescent="0.25">
      <c r="A4" s="7" t="s">
        <v>9</v>
      </c>
      <c r="B4" s="7">
        <v>0.99470184126059624</v>
      </c>
    </row>
    <row r="5" spans="1:9" x14ac:dyDescent="0.25">
      <c r="A5" s="7" t="s">
        <v>10</v>
      </c>
      <c r="B5" s="7">
        <v>0.98943175300722042</v>
      </c>
    </row>
    <row r="6" spans="1:9" x14ac:dyDescent="0.25">
      <c r="A6" s="7" t="s">
        <v>11</v>
      </c>
      <c r="B6" s="7">
        <v>0.98881009141940979</v>
      </c>
    </row>
    <row r="7" spans="1:9" x14ac:dyDescent="0.25">
      <c r="A7" s="7" t="s">
        <v>12</v>
      </c>
      <c r="B7" s="7">
        <v>20029.121271606662</v>
      </c>
    </row>
    <row r="8" spans="1:9" ht="13.8" thickBot="1" x14ac:dyDescent="0.3">
      <c r="A8" s="8" t="s">
        <v>13</v>
      </c>
      <c r="B8" s="8">
        <v>19</v>
      </c>
    </row>
    <row r="10" spans="1:9" ht="13.8" thickBot="1" x14ac:dyDescent="0.3">
      <c r="A10" t="s">
        <v>14</v>
      </c>
    </row>
    <row r="11" spans="1:9" x14ac:dyDescent="0.25">
      <c r="A11" s="9"/>
      <c r="B11" s="9" t="s">
        <v>19</v>
      </c>
      <c r="C11" s="9" t="s">
        <v>20</v>
      </c>
      <c r="D11" s="9" t="s">
        <v>21</v>
      </c>
      <c r="E11" s="9" t="s">
        <v>22</v>
      </c>
      <c r="F11" s="9" t="s">
        <v>23</v>
      </c>
    </row>
    <row r="12" spans="1:9" x14ac:dyDescent="0.25">
      <c r="A12" s="7" t="s">
        <v>15</v>
      </c>
      <c r="B12" s="7">
        <v>1</v>
      </c>
      <c r="C12" s="7">
        <v>638492209434.27295</v>
      </c>
      <c r="D12" s="7">
        <v>638492209434.27295</v>
      </c>
      <c r="E12" s="7">
        <v>1591.5922302549022</v>
      </c>
      <c r="F12" s="7">
        <v>3.06493265825407E-18</v>
      </c>
    </row>
    <row r="13" spans="1:9" x14ac:dyDescent="0.25">
      <c r="A13" s="7" t="s">
        <v>16</v>
      </c>
      <c r="B13" s="7">
        <v>17</v>
      </c>
      <c r="C13" s="7">
        <v>6819816881.5163498</v>
      </c>
      <c r="D13" s="7">
        <v>401165698.91272646</v>
      </c>
      <c r="E13" s="7"/>
      <c r="F13" s="7"/>
    </row>
    <row r="14" spans="1:9" ht="13.8" thickBot="1" x14ac:dyDescent="0.3">
      <c r="A14" s="8" t="s">
        <v>17</v>
      </c>
      <c r="B14" s="8">
        <v>18</v>
      </c>
      <c r="C14" s="8">
        <v>645312026315.78931</v>
      </c>
      <c r="D14" s="8"/>
      <c r="E14" s="8"/>
      <c r="F14" s="8"/>
    </row>
    <row r="15" spans="1:9" ht="13.8" thickBot="1" x14ac:dyDescent="0.3"/>
    <row r="16" spans="1:9" x14ac:dyDescent="0.25">
      <c r="A16" s="9"/>
      <c r="B16" s="9" t="s">
        <v>24</v>
      </c>
      <c r="C16" s="9" t="s">
        <v>12</v>
      </c>
      <c r="D16" s="9" t="s">
        <v>25</v>
      </c>
      <c r="E16" s="9" t="s">
        <v>26</v>
      </c>
      <c r="F16" s="9" t="s">
        <v>27</v>
      </c>
      <c r="G16" s="9" t="s">
        <v>28</v>
      </c>
      <c r="H16" s="9" t="s">
        <v>29</v>
      </c>
      <c r="I16" s="9" t="s">
        <v>30</v>
      </c>
    </row>
    <row r="17" spans="1:9" x14ac:dyDescent="0.25">
      <c r="A17" s="7" t="s">
        <v>18</v>
      </c>
      <c r="B17" s="7">
        <v>427595.78645925783</v>
      </c>
      <c r="C17" s="7">
        <v>32028.768535757728</v>
      </c>
      <c r="D17" s="7">
        <v>13.350366124188604</v>
      </c>
      <c r="E17" s="7">
        <v>1.9368049499727127E-10</v>
      </c>
      <c r="F17" s="7">
        <v>360020.99166369857</v>
      </c>
      <c r="G17" s="7">
        <v>495170.58125481708</v>
      </c>
      <c r="H17" s="7">
        <v>360020.99166369857</v>
      </c>
      <c r="I17" s="7">
        <v>495170.58125481708</v>
      </c>
    </row>
    <row r="18" spans="1:9" ht="13.8" thickBot="1" x14ac:dyDescent="0.3">
      <c r="A18" s="8" t="s">
        <v>46</v>
      </c>
      <c r="B18" s="8">
        <v>83.472345946616514</v>
      </c>
      <c r="C18" s="8">
        <v>2.0923132923421472</v>
      </c>
      <c r="D18" s="8">
        <v>39.894764446665206</v>
      </c>
      <c r="E18" s="8">
        <v>3.06493265825407E-18</v>
      </c>
      <c r="F18" s="8">
        <v>79.057950768725334</v>
      </c>
      <c r="G18" s="8">
        <v>87.886741124507694</v>
      </c>
      <c r="H18" s="8">
        <v>79.057950768725334</v>
      </c>
      <c r="I18" s="8">
        <v>87.886741124507694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6"/>
  <sheetViews>
    <sheetView tabSelected="1" topLeftCell="E1" zoomScale="122" workbookViewId="0">
      <selection activeCell="K3" sqref="K3"/>
    </sheetView>
  </sheetViews>
  <sheetFormatPr defaultColWidth="12.6640625" defaultRowHeight="15.75" customHeight="1" x14ac:dyDescent="0.25"/>
  <cols>
    <col min="5" max="5" width="15.109375" customWidth="1"/>
    <col min="8" max="8" width="15.109375" customWidth="1"/>
    <col min="9" max="9" width="16.77734375" bestFit="1" customWidth="1"/>
    <col min="11" max="11" width="21.77734375" customWidth="1"/>
  </cols>
  <sheetData>
    <row r="1" spans="1:13" ht="13.2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36</v>
      </c>
      <c r="J1" s="1" t="s">
        <v>33</v>
      </c>
    </row>
    <row r="2" spans="1:13" ht="13.2" x14ac:dyDescent="0.25">
      <c r="A2" s="1">
        <v>1</v>
      </c>
      <c r="B2" s="1">
        <v>12550</v>
      </c>
      <c r="C2" s="1">
        <v>1480500</v>
      </c>
      <c r="D2" s="1">
        <v>14.21</v>
      </c>
      <c r="E2" s="1">
        <v>178309</v>
      </c>
      <c r="F2" s="1">
        <v>201.86</v>
      </c>
      <c r="G2" s="1">
        <v>157502500</v>
      </c>
      <c r="H2" s="1">
        <v>1481868</v>
      </c>
      <c r="I2" s="1">
        <f t="shared" ref="I2:I20" si="0">$M$9*EXP($M$7*$B2)</f>
        <v>1482072.9098528628</v>
      </c>
      <c r="J2" s="1">
        <f t="shared" ref="J2:J22" si="1">$I2-$C2</f>
        <v>1572.9098528628238</v>
      </c>
    </row>
    <row r="3" spans="1:13" ht="13.2" x14ac:dyDescent="0.25">
      <c r="A3" s="1">
        <v>2</v>
      </c>
      <c r="B3" s="1">
        <v>12560</v>
      </c>
      <c r="C3" s="1">
        <v>1482500</v>
      </c>
      <c r="D3" s="1">
        <v>14.21</v>
      </c>
      <c r="E3" s="1">
        <v>178468.1</v>
      </c>
      <c r="F3" s="1">
        <v>201.9</v>
      </c>
      <c r="G3" s="1">
        <v>157753600</v>
      </c>
      <c r="H3" s="1">
        <v>1482592</v>
      </c>
      <c r="I3" s="1">
        <f t="shared" si="0"/>
        <v>1482798.9279371786</v>
      </c>
      <c r="J3" s="1">
        <f t="shared" si="1"/>
        <v>298.9279371786397</v>
      </c>
      <c r="K3">
        <f>EXP(D2)</f>
        <v>1483626.520184071</v>
      </c>
    </row>
    <row r="4" spans="1:13" ht="13.2" x14ac:dyDescent="0.25">
      <c r="A4" s="1">
        <v>3</v>
      </c>
      <c r="B4" s="1">
        <v>12800</v>
      </c>
      <c r="C4" s="1">
        <v>1500000</v>
      </c>
      <c r="D4" s="1">
        <v>14.22</v>
      </c>
      <c r="E4" s="1">
        <v>182028.5</v>
      </c>
      <c r="F4" s="1">
        <v>202.24</v>
      </c>
      <c r="G4" s="1">
        <v>163840000</v>
      </c>
      <c r="H4" s="1">
        <v>1500058</v>
      </c>
      <c r="I4" s="1">
        <f t="shared" si="0"/>
        <v>1500330.4593663719</v>
      </c>
      <c r="J4" s="1">
        <f t="shared" si="1"/>
        <v>330.45936637185514</v>
      </c>
      <c r="K4">
        <f>EXP(M8+(M7*B4))</f>
        <v>1500330.4593663712</v>
      </c>
    </row>
    <row r="5" spans="1:13" ht="13.2" x14ac:dyDescent="0.25">
      <c r="A5" s="1">
        <v>4</v>
      </c>
      <c r="B5" s="1">
        <v>12950</v>
      </c>
      <c r="C5" s="1">
        <v>1490000</v>
      </c>
      <c r="D5" s="1">
        <v>14.21</v>
      </c>
      <c r="E5" s="1">
        <v>184075</v>
      </c>
      <c r="F5" s="1">
        <v>202.05</v>
      </c>
      <c r="G5" s="1">
        <v>167702500</v>
      </c>
      <c r="H5" s="1">
        <v>1511079</v>
      </c>
      <c r="I5" s="1">
        <f t="shared" si="0"/>
        <v>1511392.7709606984</v>
      </c>
      <c r="J5" s="1">
        <f t="shared" si="1"/>
        <v>21392.77096069837</v>
      </c>
    </row>
    <row r="6" spans="1:13" ht="13.2" x14ac:dyDescent="0.25">
      <c r="A6" s="1">
        <v>5</v>
      </c>
      <c r="B6" s="1">
        <v>12980</v>
      </c>
      <c r="C6" s="1">
        <v>1515000</v>
      </c>
      <c r="D6" s="1">
        <v>14.23</v>
      </c>
      <c r="E6" s="1">
        <v>184717.4</v>
      </c>
      <c r="F6" s="1">
        <v>202.52</v>
      </c>
      <c r="G6" s="1">
        <v>168480400</v>
      </c>
      <c r="H6" s="1">
        <v>1513293</v>
      </c>
      <c r="I6" s="1">
        <f t="shared" si="0"/>
        <v>1513615.0019210442</v>
      </c>
      <c r="J6" s="1">
        <f t="shared" si="1"/>
        <v>-1384.9980789558031</v>
      </c>
      <c r="L6" s="6" t="s">
        <v>38</v>
      </c>
      <c r="M6" s="6" t="s">
        <v>39</v>
      </c>
    </row>
    <row r="7" spans="1:13" ht="13.2" x14ac:dyDescent="0.25">
      <c r="A7" s="1">
        <v>6</v>
      </c>
      <c r="B7" s="1">
        <v>13000</v>
      </c>
      <c r="C7" s="1">
        <v>1513000</v>
      </c>
      <c r="D7" s="1">
        <v>14.23</v>
      </c>
      <c r="E7" s="1">
        <v>184984.9</v>
      </c>
      <c r="F7" s="1">
        <v>202.48</v>
      </c>
      <c r="G7" s="1">
        <v>169000000</v>
      </c>
      <c r="H7" s="1">
        <v>1514770</v>
      </c>
      <c r="I7" s="1">
        <f t="shared" si="0"/>
        <v>1515098.3041485029</v>
      </c>
      <c r="J7" s="1">
        <f t="shared" si="1"/>
        <v>2098.3041485028807</v>
      </c>
      <c r="L7" s="6" t="s">
        <v>40</v>
      </c>
      <c r="M7">
        <f>OLS_Analysis!B18</f>
        <v>4.8974669972133465E-5</v>
      </c>
    </row>
    <row r="8" spans="1:13" ht="13.2" x14ac:dyDescent="0.25">
      <c r="A8" s="1">
        <v>7</v>
      </c>
      <c r="B8" s="1">
        <v>13250</v>
      </c>
      <c r="C8" s="1">
        <v>1530000</v>
      </c>
      <c r="D8" s="1">
        <v>14.24</v>
      </c>
      <c r="E8" s="1">
        <v>188690.3</v>
      </c>
      <c r="F8" s="1">
        <v>202.8</v>
      </c>
      <c r="G8" s="1">
        <v>175562500</v>
      </c>
      <c r="H8" s="1">
        <v>1533364</v>
      </c>
      <c r="I8" s="1">
        <f t="shared" si="0"/>
        <v>1533762.691117543</v>
      </c>
      <c r="J8" s="1">
        <f t="shared" si="1"/>
        <v>3762.6911175430287</v>
      </c>
      <c r="L8" s="6" t="s">
        <v>41</v>
      </c>
      <c r="M8">
        <f>OLS_Analysis!B17</f>
        <v>13.594320172409521</v>
      </c>
    </row>
    <row r="9" spans="1:13" ht="13.2" x14ac:dyDescent="0.25">
      <c r="A9" s="1">
        <v>8</v>
      </c>
      <c r="B9" s="1">
        <v>13780</v>
      </c>
      <c r="C9" s="1">
        <v>1560000</v>
      </c>
      <c r="D9" s="1">
        <v>14.26</v>
      </c>
      <c r="E9" s="1">
        <v>196505.5</v>
      </c>
      <c r="F9" s="1">
        <v>203.35</v>
      </c>
      <c r="G9" s="1">
        <v>189888400</v>
      </c>
      <c r="H9" s="1">
        <v>1573540</v>
      </c>
      <c r="I9" s="1">
        <f t="shared" si="0"/>
        <v>1574095.0987050829</v>
      </c>
      <c r="J9" s="1">
        <f t="shared" si="1"/>
        <v>14095.098705082899</v>
      </c>
      <c r="L9" s="6" t="s">
        <v>42</v>
      </c>
      <c r="M9">
        <f>EXP(M8)</f>
        <v>801564.05954411719</v>
      </c>
    </row>
    <row r="10" spans="1:13" ht="13.2" x14ac:dyDescent="0.25">
      <c r="A10" s="1">
        <v>9</v>
      </c>
      <c r="B10" s="1">
        <v>14250</v>
      </c>
      <c r="C10" s="1">
        <v>1600000</v>
      </c>
      <c r="D10" s="1">
        <v>14.29</v>
      </c>
      <c r="E10" s="1">
        <v>203568.6</v>
      </c>
      <c r="F10" s="1">
        <v>204.08</v>
      </c>
      <c r="G10" s="1">
        <v>203062500</v>
      </c>
      <c r="H10" s="1">
        <v>1610048</v>
      </c>
      <c r="I10" s="1">
        <f t="shared" si="0"/>
        <v>1610747.990609207</v>
      </c>
      <c r="J10" s="1">
        <f t="shared" si="1"/>
        <v>10747.990609206958</v>
      </c>
    </row>
    <row r="11" spans="1:13" ht="13.2" x14ac:dyDescent="0.25">
      <c r="A11" s="1">
        <v>10</v>
      </c>
      <c r="B11" s="1">
        <v>14250</v>
      </c>
      <c r="C11" s="1">
        <v>1650000</v>
      </c>
      <c r="D11" s="1">
        <v>14.32</v>
      </c>
      <c r="E11" s="1">
        <v>204007.1</v>
      </c>
      <c r="F11" s="1">
        <v>204.96</v>
      </c>
      <c r="G11" s="1">
        <v>203062500</v>
      </c>
      <c r="H11" s="1">
        <v>1610048</v>
      </c>
      <c r="I11" s="1">
        <f t="shared" si="0"/>
        <v>1610747.990609207</v>
      </c>
      <c r="J11" s="1">
        <f t="shared" si="1"/>
        <v>-39252.009390793042</v>
      </c>
    </row>
    <row r="12" spans="1:13" ht="13.2" x14ac:dyDescent="0.25">
      <c r="A12" s="1">
        <v>11</v>
      </c>
      <c r="B12" s="1">
        <v>15000</v>
      </c>
      <c r="C12" s="1">
        <v>1700000</v>
      </c>
      <c r="D12" s="1">
        <v>14.35</v>
      </c>
      <c r="E12" s="1">
        <v>215192.1</v>
      </c>
      <c r="F12" s="1">
        <v>205.81</v>
      </c>
      <c r="G12" s="1">
        <v>225000000</v>
      </c>
      <c r="H12" s="1">
        <v>1670068</v>
      </c>
      <c r="I12" s="1">
        <f t="shared" si="0"/>
        <v>1671012.3895317116</v>
      </c>
      <c r="J12" s="1">
        <f t="shared" si="1"/>
        <v>-28987.610468288418</v>
      </c>
    </row>
    <row r="13" spans="1:13" ht="13.2" x14ac:dyDescent="0.25">
      <c r="A13" s="1">
        <v>12</v>
      </c>
      <c r="B13" s="1">
        <v>16500</v>
      </c>
      <c r="C13" s="1">
        <v>1800000</v>
      </c>
      <c r="D13" s="1">
        <v>14.4</v>
      </c>
      <c r="E13" s="1">
        <v>237654.39999999999</v>
      </c>
      <c r="F13" s="1">
        <v>207.45</v>
      </c>
      <c r="G13" s="1">
        <v>272250000</v>
      </c>
      <c r="H13" s="1">
        <v>1796903</v>
      </c>
      <c r="I13" s="1">
        <f t="shared" si="0"/>
        <v>1798389.728050892</v>
      </c>
      <c r="J13" s="1">
        <f t="shared" si="1"/>
        <v>-1610.2719491079915</v>
      </c>
    </row>
    <row r="14" spans="1:13" ht="13.2" x14ac:dyDescent="0.25">
      <c r="A14" s="1">
        <v>13</v>
      </c>
      <c r="B14" s="1">
        <v>16580</v>
      </c>
      <c r="C14" s="1">
        <v>1810000</v>
      </c>
      <c r="D14" s="1">
        <v>14.41</v>
      </c>
      <c r="E14" s="1">
        <v>238898.5</v>
      </c>
      <c r="F14" s="1">
        <v>207.61</v>
      </c>
      <c r="G14" s="1">
        <v>274896400</v>
      </c>
      <c r="H14" s="1">
        <v>1803932</v>
      </c>
      <c r="I14" s="1">
        <f t="shared" si="0"/>
        <v>1805449.5926744512</v>
      </c>
      <c r="J14" s="1">
        <f t="shared" si="1"/>
        <v>-4550.4073255488183</v>
      </c>
    </row>
    <row r="15" spans="1:13" ht="13.2" x14ac:dyDescent="0.25">
      <c r="A15" s="1">
        <v>14</v>
      </c>
      <c r="B15" s="1">
        <v>17000</v>
      </c>
      <c r="C15" s="1">
        <v>1850000</v>
      </c>
      <c r="D15" s="1">
        <v>14.43</v>
      </c>
      <c r="E15" s="1">
        <v>245321.8</v>
      </c>
      <c r="F15" s="1">
        <v>208.24</v>
      </c>
      <c r="G15" s="1">
        <v>289000000</v>
      </c>
      <c r="H15" s="1">
        <v>1841287</v>
      </c>
      <c r="I15" s="1">
        <f t="shared" si="0"/>
        <v>1842971.1117245066</v>
      </c>
      <c r="J15" s="1">
        <f t="shared" si="1"/>
        <v>-7028.888275493402</v>
      </c>
    </row>
    <row r="16" spans="1:13" ht="13.2" x14ac:dyDescent="0.25">
      <c r="A16" s="1">
        <v>15</v>
      </c>
      <c r="B16" s="1">
        <v>17240</v>
      </c>
      <c r="C16" s="1">
        <v>1840000</v>
      </c>
      <c r="D16" s="1">
        <v>14.43</v>
      </c>
      <c r="E16" s="1">
        <v>248691.8</v>
      </c>
      <c r="F16" s="1">
        <v>208.09</v>
      </c>
      <c r="G16" s="1">
        <v>297217600</v>
      </c>
      <c r="H16" s="1">
        <v>1862979</v>
      </c>
      <c r="I16" s="1">
        <f t="shared" si="0"/>
        <v>1864761.0559708534</v>
      </c>
      <c r="J16" s="1">
        <f t="shared" si="1"/>
        <v>24761.055970853427</v>
      </c>
    </row>
    <row r="17" spans="1:12" ht="13.2" x14ac:dyDescent="0.25">
      <c r="A17" s="1">
        <v>16</v>
      </c>
      <c r="B17" s="1">
        <v>18000</v>
      </c>
      <c r="C17" s="1">
        <v>1950000</v>
      </c>
      <c r="D17" s="1">
        <v>14.48</v>
      </c>
      <c r="E17" s="1">
        <v>260700</v>
      </c>
      <c r="F17" s="1">
        <v>209.77</v>
      </c>
      <c r="G17" s="1">
        <v>324000000</v>
      </c>
      <c r="H17" s="1">
        <v>1933370</v>
      </c>
      <c r="I17" s="1">
        <f t="shared" si="0"/>
        <v>1935476.7410583484</v>
      </c>
      <c r="J17" s="1">
        <f t="shared" si="1"/>
        <v>-14523.258941651555</v>
      </c>
      <c r="K17" s="6" t="s">
        <v>37</v>
      </c>
    </row>
    <row r="18" spans="1:12" ht="13.2" x14ac:dyDescent="0.25">
      <c r="A18" s="1">
        <v>17</v>
      </c>
      <c r="B18" s="1">
        <v>18200</v>
      </c>
      <c r="C18" s="1">
        <v>1960000</v>
      </c>
      <c r="D18" s="1">
        <v>14.49</v>
      </c>
      <c r="E18" s="1">
        <v>263689.90000000002</v>
      </c>
      <c r="F18" s="1">
        <v>209.92</v>
      </c>
      <c r="G18" s="1">
        <v>331240000</v>
      </c>
      <c r="H18" s="1">
        <v>1952332</v>
      </c>
      <c r="I18" s="1">
        <f t="shared" si="0"/>
        <v>1954527.7573947401</v>
      </c>
      <c r="J18" s="1">
        <f t="shared" si="1"/>
        <v>-5472.2426052598748</v>
      </c>
    </row>
    <row r="19" spans="1:12" ht="13.2" x14ac:dyDescent="0.25">
      <c r="A19" s="1">
        <v>18</v>
      </c>
      <c r="B19" s="1">
        <v>18200</v>
      </c>
      <c r="C19" s="1">
        <v>1900000</v>
      </c>
      <c r="D19" s="1">
        <v>14.46</v>
      </c>
      <c r="E19" s="1">
        <v>263124</v>
      </c>
      <c r="F19" s="1">
        <v>209.02</v>
      </c>
      <c r="G19" s="1">
        <v>331240000</v>
      </c>
      <c r="H19" s="1">
        <v>1952332</v>
      </c>
      <c r="I19" s="1">
        <f t="shared" si="0"/>
        <v>1954527.7573947401</v>
      </c>
      <c r="J19" s="1">
        <f t="shared" si="1"/>
        <v>54527.757394740125</v>
      </c>
    </row>
    <row r="20" spans="1:12" ht="13.2" x14ac:dyDescent="0.25">
      <c r="A20" s="1">
        <v>19</v>
      </c>
      <c r="B20" s="1">
        <v>18750</v>
      </c>
      <c r="C20" s="1">
        <v>2020000</v>
      </c>
      <c r="D20" s="1">
        <v>14.52</v>
      </c>
      <c r="E20" s="1">
        <v>272223.90000000002</v>
      </c>
      <c r="F20" s="1">
        <v>210.79</v>
      </c>
      <c r="G20" s="1">
        <v>351562500</v>
      </c>
      <c r="H20" s="1">
        <v>2005443</v>
      </c>
      <c r="I20" s="1">
        <f t="shared" si="0"/>
        <v>2007890.5159681372</v>
      </c>
      <c r="J20" s="1">
        <f t="shared" si="1"/>
        <v>-12109.484031862812</v>
      </c>
    </row>
    <row r="21" spans="1:12" ht="15.75" customHeight="1" x14ac:dyDescent="0.25">
      <c r="A21" s="1">
        <v>20</v>
      </c>
      <c r="B21" s="1">
        <v>13550</v>
      </c>
      <c r="C21" s="1"/>
      <c r="D21" s="1"/>
      <c r="E21" s="1"/>
      <c r="F21" s="1"/>
      <c r="G21" s="1"/>
      <c r="H21" s="1"/>
      <c r="I21" s="1">
        <f t="shared" ref="I21:I22" si="2">$M$9*EXP($M$7*$B21)</f>
        <v>1556463.7054396097</v>
      </c>
      <c r="J21" s="1">
        <f t="shared" si="1"/>
        <v>1556463.7054396097</v>
      </c>
    </row>
    <row r="22" spans="1:12" ht="15.75" customHeight="1" x14ac:dyDescent="0.25">
      <c r="A22" s="1">
        <v>21</v>
      </c>
      <c r="B22" s="1">
        <v>19500</v>
      </c>
      <c r="C22" s="1"/>
      <c r="D22" s="1"/>
      <c r="E22" s="1"/>
      <c r="F22" s="1"/>
      <c r="G22" s="1"/>
      <c r="H22" s="1"/>
      <c r="I22" s="1">
        <f t="shared" si="2"/>
        <v>2083013.5741699683</v>
      </c>
      <c r="J22" s="1">
        <f t="shared" si="1"/>
        <v>2083013.5741699683</v>
      </c>
    </row>
    <row r="24" spans="1:12" ht="13.2" x14ac:dyDescent="0.25">
      <c r="B24" s="2"/>
      <c r="K24" s="6" t="s">
        <v>43</v>
      </c>
      <c r="L24">
        <f>AVERAGE(C2:C20)</f>
        <v>1692157.894736842</v>
      </c>
    </row>
    <row r="25" spans="1:12" ht="13.2" x14ac:dyDescent="0.25">
      <c r="G25" s="2"/>
      <c r="K25" s="6" t="s">
        <v>44</v>
      </c>
      <c r="L25">
        <f>AVERAGE(I2:I20)</f>
        <v>1693140.4628945305</v>
      </c>
    </row>
    <row r="26" spans="1:12" ht="15.75" customHeight="1" x14ac:dyDescent="0.25">
      <c r="K26" s="6" t="s">
        <v>45</v>
      </c>
      <c r="L26">
        <f>L25-L24</f>
        <v>982.56815768848173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OLS_Analysis</vt:lpstr>
      <vt:lpstr>Sheet2</vt:lpstr>
      <vt:lpstr>Sheet4</vt:lpstr>
      <vt:lpstr>Sheet5</vt:lpstr>
      <vt:lpstr>Sheet6</vt:lpstr>
      <vt:lpstr>Drilling 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Tamarabrakemi Okpomu</cp:lastModifiedBy>
  <dcterms:modified xsi:type="dcterms:W3CDTF">2026-06-29T17:40:48Z</dcterms:modified>
</cp:coreProperties>
</file>